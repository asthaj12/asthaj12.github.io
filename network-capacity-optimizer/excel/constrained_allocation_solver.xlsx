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>
    <definedName name="solver_opt" localSheetId="0" hidden="1">'Allocation'!$H$12</definedName>
    <definedName name="solver_typ" localSheetId="0" hidden="1">1</definedName>
    <definedName name="solver_val" localSheetId="0" hidden="1">0</definedName>
    <definedName name="solver_adj" localSheetId="0" hidden="1">'Allocation'!$F$7:$F$11</definedName>
    <definedName name="solver_eng" localSheetId="0" hidden="1">2</definedName>
    <definedName name="solver_neg" localSheetId="0" hidden="1">1</definedName>
    <definedName name="solver_ver" localSheetId="0" hidden="1">3</definedName>
    <definedName name="solver_num" localSheetId="0" hidden="1">3</definedName>
    <definedName name="solver_lhs1" localSheetId="0" hidden="1">'Allocation'!$F$7:$F$11</definedName>
    <definedName name="solver_rel1" localSheetId="0" hidden="1">1</definedName>
    <definedName name="solver_rhs1" localSheetId="0" hidden="1">'Allocation'!$B$7:$B$11</definedName>
    <definedName name="solver_lhs2" localSheetId="0" hidden="1">'Allocation'!$F$7:$F$11</definedName>
    <definedName name="solver_rel2" localSheetId="0" hidden="1">3</definedName>
    <definedName name="solver_rhs2" localSheetId="0" hidden="1">'Allocation'!$E$7:$E$11</definedName>
    <definedName name="solver_lhs3" localSheetId="0" hidden="1">'Allocation'!$F$12</definedName>
    <definedName name="solver_rel3" localSheetId="0" hidden="1">1</definedName>
    <definedName name="solver_rhs3" localSheetId="0" hidden="1">'Allocation'!$B$4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FD1"/>
    </font>
    <font/>
  </fonts>
  <fills count="5">
    <fill>
      <patternFill/>
    </fill>
    <fill>
      <patternFill patternType="gray125"/>
    </fill>
    <fill>
      <patternFill patternType="solid">
        <fgColor rgb="00DCEBFA"/>
      </patternFill>
    </fill>
    <fill>
      <patternFill patternType="solid">
        <fgColor rgb="00F2F2F2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9" fontId="0" fillId="2" borderId="1" pivotButton="0" quotePrefix="0" xfId="0"/>
    <xf numFmtId="0" fontId="0" fillId="4" borderId="1" pivotButton="0" quotePrefix="0" xfId="0"/>
    <xf numFmtId="9" fontId="0" fillId="0" borderId="1" pivotButton="0" quotePrefix="0" xfId="0"/>
    <xf numFmtId="164" fontId="0" fillId="0" borderId="1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1" customWidth="1" min="5" max="5"/>
    <col width="13" customWidth="1" min="6" max="6"/>
    <col width="9" customWidth="1" min="7" max="7"/>
    <col width="12" customWidth="1" min="8" max="8"/>
    <col width="12" customWidth="1" min="9" max="9"/>
  </cols>
  <sheetData>
    <row r="1">
      <c r="A1" s="1" t="inlineStr">
        <is>
          <t>Constrained Supply Allocation — Excel Solver model</t>
        </is>
      </c>
    </row>
    <row r="2">
      <c r="A2" t="inlineStr">
        <is>
          <t>Supply is 30% below demand. Yellow cells are the decision. Run: Data &gt; Solver &gt; Solve (settings are pre-loaded).</t>
        </is>
      </c>
    </row>
    <row r="4">
      <c r="A4" s="2" t="inlineStr">
        <is>
          <t>Supply available</t>
        </is>
      </c>
      <c r="B4" s="3" t="n">
        <v>7000</v>
      </c>
    </row>
    <row r="6">
      <c r="A6" s="4" t="inlineStr">
        <is>
          <t>Channel</t>
        </is>
      </c>
      <c r="B6" s="4" t="inlineStr">
        <is>
          <t>Demand</t>
        </is>
      </c>
      <c r="C6" s="4" t="inlineStr">
        <is>
          <t>Margin $/unit</t>
        </is>
      </c>
      <c r="D6" s="4" t="inlineStr">
        <is>
          <t>Fill floor</t>
        </is>
      </c>
      <c r="E6" s="4" t="inlineStr">
        <is>
          <t>Min units</t>
        </is>
      </c>
      <c r="F6" s="4" t="inlineStr">
        <is>
          <t>ALLOCATION</t>
        </is>
      </c>
      <c r="G6" s="4" t="inlineStr">
        <is>
          <t>Fill %</t>
        </is>
      </c>
      <c r="H6" s="4" t="inlineStr">
        <is>
          <t>Margin $</t>
        </is>
      </c>
      <c r="I6" s="4" t="inlineStr">
        <is>
          <t>PuLP answer</t>
        </is>
      </c>
    </row>
    <row r="7">
      <c r="A7" s="5" t="inlineStr">
        <is>
          <t>Flagship Retail</t>
        </is>
      </c>
      <c r="B7" s="6" t="n">
        <v>3000</v>
      </c>
      <c r="C7" s="6" t="n">
        <v>42</v>
      </c>
      <c r="D7" s="7" t="n">
        <v>1</v>
      </c>
      <c r="E7" s="5">
        <f>B7*D7</f>
        <v/>
      </c>
      <c r="F7" s="8" t="n">
        <v>0</v>
      </c>
      <c r="G7" s="9">
        <f>IFERROR(F7/B7,0)</f>
        <v/>
      </c>
      <c r="H7" s="10">
        <f>F7*C7</f>
        <v/>
      </c>
      <c r="I7" s="5" t="n">
        <v>3000</v>
      </c>
    </row>
    <row r="8">
      <c r="A8" s="5" t="inlineStr">
        <is>
          <t>Big-Box Retail</t>
        </is>
      </c>
      <c r="B8" s="6" t="n">
        <v>2500</v>
      </c>
      <c r="C8" s="6" t="n">
        <v>35</v>
      </c>
      <c r="D8" s="7" t="n">
        <v>0.85</v>
      </c>
      <c r="E8" s="5">
        <f>B8*D8</f>
        <v/>
      </c>
      <c r="F8" s="8" t="n">
        <v>0</v>
      </c>
      <c r="G8" s="9">
        <f>IFERROR(F8/B8,0)</f>
        <v/>
      </c>
      <c r="H8" s="10">
        <f>F8*C8</f>
        <v/>
      </c>
      <c r="I8" s="5" t="n">
        <v>2125</v>
      </c>
    </row>
    <row r="9">
      <c r="A9" s="5" t="inlineStr">
        <is>
          <t>Online Direct</t>
        </is>
      </c>
      <c r="B9" s="6" t="n">
        <v>2000</v>
      </c>
      <c r="C9" s="6" t="n">
        <v>48</v>
      </c>
      <c r="D9" s="7" t="n">
        <v>0.5</v>
      </c>
      <c r="E9" s="5">
        <f>B9*D9</f>
        <v/>
      </c>
      <c r="F9" s="8" t="n">
        <v>0</v>
      </c>
      <c r="G9" s="9">
        <f>IFERROR(F9/B9,0)</f>
        <v/>
      </c>
      <c r="H9" s="10">
        <f>F9*C9</f>
        <v/>
      </c>
      <c r="I9" s="5" t="n">
        <v>1125</v>
      </c>
    </row>
    <row r="10">
      <c r="A10" s="5" t="inlineStr">
        <is>
          <t>Education B2B</t>
        </is>
      </c>
      <c r="B10" s="6" t="n">
        <v>1500</v>
      </c>
      <c r="C10" s="6" t="n">
        <v>30</v>
      </c>
      <c r="D10" s="7" t="n">
        <v>0.5</v>
      </c>
      <c r="E10" s="5">
        <f>B10*D10</f>
        <v/>
      </c>
      <c r="F10" s="8" t="n">
        <v>0</v>
      </c>
      <c r="G10" s="9">
        <f>IFERROR(F10/B10,0)</f>
        <v/>
      </c>
      <c r="H10" s="10">
        <f>F10*C10</f>
        <v/>
      </c>
      <c r="I10" s="5" t="n">
        <v>750</v>
      </c>
    </row>
    <row r="11">
      <c r="A11" s="5" t="inlineStr">
        <is>
          <t>Distributors</t>
        </is>
      </c>
      <c r="B11" s="6" t="n">
        <v>1000</v>
      </c>
      <c r="C11" s="6" t="n">
        <v>22</v>
      </c>
      <c r="D11" s="7" t="n">
        <v>0</v>
      </c>
      <c r="E11" s="5">
        <f>B11*D11</f>
        <v/>
      </c>
      <c r="F11" s="8" t="n">
        <v>0</v>
      </c>
      <c r="G11" s="9">
        <f>IFERROR(F11/B11,0)</f>
        <v/>
      </c>
      <c r="H11" s="10">
        <f>F11*C11</f>
        <v/>
      </c>
      <c r="I11" s="5" t="n">
        <v>0</v>
      </c>
    </row>
    <row r="12">
      <c r="A12" s="2" t="inlineStr">
        <is>
          <t>TOTAL</t>
        </is>
      </c>
      <c r="B12">
        <f>SUM(B7:B11)</f>
        <v/>
      </c>
      <c r="F12" s="2">
        <f>SUM(F7:F11)</f>
        <v/>
      </c>
      <c r="H12" s="11">
        <f>SUMPRODUCT(F7:F11,C7:C11)</f>
        <v/>
      </c>
    </row>
    <row r="14">
      <c r="A14" s="2" t="inlineStr">
        <is>
          <t>Objective (maximize):</t>
        </is>
      </c>
      <c r="B14">
        <f>H12</f>
        <v/>
      </c>
    </row>
    <row r="16">
      <c r="A16" s="2" t="inlineStr">
        <is>
          <t>HOW TO RUN</t>
        </is>
      </c>
    </row>
    <row r="17">
      <c r="A17" s="12" t="inlineStr">
        <is>
          <t>1. Enable Solver once: Mac Tools &gt; Excel Add-ins &gt; Solver Add-in. Windows File &gt; Options &gt; Add-ins &gt; Go &gt; Solver Add-in.</t>
        </is>
      </c>
    </row>
    <row r="18">
      <c r="A18" s="12" t="inlineStr">
        <is>
          <t>2. Data &gt; Solver. The dialog is pre-filled:</t>
        </is>
      </c>
    </row>
    <row r="19">
      <c r="A19" s="12" t="inlineStr">
        <is>
          <t xml:space="preserve">   Set Objective: $H$12  (To: Max)    By Changing: $F$7:$F$11</t>
        </is>
      </c>
    </row>
    <row r="20">
      <c r="A20" s="12" t="inlineStr">
        <is>
          <t xml:space="preserve">   Constraints: F &lt;= Demand (B),  F &gt;= Min units (E),  total F (F12) &lt;= Supply (B4)</t>
        </is>
      </c>
    </row>
    <row r="21">
      <c r="A21" s="12" t="inlineStr">
        <is>
          <t xml:space="preserve">   Method: Simplex LP,  Make Unconstrained Variables Non-Negative: on</t>
        </is>
      </c>
    </row>
    <row r="22">
      <c r="A22" s="12" t="inlineStr">
        <is>
          <t>3. Solve &gt; keep solution &gt; also tick "Sensitivity" report.</t>
        </is>
      </c>
    </row>
    <row r="23">
      <c r="A23" s="12" t="inlineStr">
        <is>
          <t>4. In the Sensitivity report, the Shadow Price on the supply row is the value of ONE more unit of supply;</t>
        </is>
      </c>
    </row>
    <row r="24">
      <c r="A24" s="12" t="inlineStr">
        <is>
          <t xml:space="preserve">   shadow prices on the floor rows are what each commitment costs per unit.</t>
        </is>
      </c>
    </row>
    <row r="25">
      <c r="A25" s="12" t="inlineStr">
        <is>
          <t>5. Compare column F with column I (same model solved in Python with PuLP).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2026-10-03T01:53:48Z</dcterms:created>
  <dcterms:modified xsi:type="dcterms:W3CDTF">2026-10-03T01:53:48Z</dcterms:modified>
</cp:coreProperties>
</file>